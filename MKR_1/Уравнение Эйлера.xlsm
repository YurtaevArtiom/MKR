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23040" windowHeight="8616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 s="1"/>
  <c r="H13" i="1"/>
  <c r="H17" i="1" s="1"/>
  <c r="H18" i="1" s="1"/>
  <c r="H19" i="1" s="1"/>
  <c r="I13" i="1"/>
  <c r="I17" i="1" s="1"/>
  <c r="I18" i="1" s="1"/>
  <c r="I19" i="1" s="1"/>
  <c r="J13" i="1"/>
  <c r="J10" i="1" s="1"/>
  <c r="K13" i="1"/>
  <c r="K10" i="1" s="1"/>
  <c r="L13" i="1"/>
  <c r="L17" i="1" s="1"/>
  <c r="L18" i="1" s="1"/>
  <c r="L19" i="1" s="1"/>
  <c r="M13" i="1"/>
  <c r="M17" i="1" s="1"/>
  <c r="M18" i="1" s="1"/>
  <c r="M19" i="1" s="1"/>
  <c r="N13" i="1"/>
  <c r="N10" i="1" s="1"/>
  <c r="O13" i="1"/>
  <c r="O10" i="1" s="1"/>
  <c r="P13" i="1"/>
  <c r="P17" i="1" s="1"/>
  <c r="P18" i="1" s="1"/>
  <c r="P19" i="1" s="1"/>
  <c r="G13" i="1"/>
  <c r="G10" i="1" s="1"/>
  <c r="G5" i="1"/>
  <c r="H5" i="1"/>
  <c r="I5" i="1"/>
  <c r="J5" i="1"/>
  <c r="K5" i="1"/>
  <c r="L5" i="1"/>
  <c r="M5" i="1"/>
  <c r="N5" i="1"/>
  <c r="O5" i="1"/>
  <c r="P5" i="1"/>
  <c r="F5" i="1"/>
  <c r="H4" i="1"/>
  <c r="I4" i="1"/>
  <c r="J4" i="1"/>
  <c r="K4" i="1"/>
  <c r="L4" i="1" s="1"/>
  <c r="M4" i="1" s="1"/>
  <c r="N4" i="1" s="1"/>
  <c r="O4" i="1" s="1"/>
  <c r="G4" i="1"/>
  <c r="P4" i="1"/>
  <c r="F4" i="1"/>
  <c r="H3" i="1"/>
  <c r="I3" i="1"/>
  <c r="J3" i="1"/>
  <c r="K3" i="1"/>
  <c r="L3" i="1" s="1"/>
  <c r="M3" i="1" s="1"/>
  <c r="N3" i="1" s="1"/>
  <c r="O3" i="1" s="1"/>
  <c r="P3" i="1" s="1"/>
  <c r="G3" i="1"/>
  <c r="C3" i="1"/>
  <c r="P10" i="1" l="1"/>
  <c r="O11" i="1" s="1"/>
  <c r="O14" i="1" s="1"/>
  <c r="M10" i="1"/>
  <c r="M11" i="1" s="1"/>
  <c r="M14" i="1" s="1"/>
  <c r="H10" i="1"/>
  <c r="G11" i="1" s="1"/>
  <c r="G14" i="1" s="1"/>
  <c r="I10" i="1"/>
  <c r="I11" i="1" s="1"/>
  <c r="I14" i="1" s="1"/>
  <c r="L10" i="1"/>
  <c r="G17" i="1"/>
  <c r="G18" i="1" s="1"/>
  <c r="G19" i="1" s="1"/>
  <c r="J11" i="1"/>
  <c r="J14" i="1" s="1"/>
  <c r="O17" i="1"/>
  <c r="O18" i="1" s="1"/>
  <c r="O19" i="1" s="1"/>
  <c r="K17" i="1"/>
  <c r="K18" i="1" s="1"/>
  <c r="K19" i="1" s="1"/>
  <c r="F10" i="1"/>
  <c r="F11" i="1" s="1"/>
  <c r="N17" i="1"/>
  <c r="N18" i="1" s="1"/>
  <c r="N19" i="1" s="1"/>
  <c r="J17" i="1"/>
  <c r="J18" i="1" s="1"/>
  <c r="J19" i="1" s="1"/>
  <c r="F17" i="1"/>
  <c r="F18" i="1" s="1"/>
  <c r="F19" i="1" s="1"/>
  <c r="N11" i="1"/>
  <c r="N14" i="1" s="1"/>
  <c r="L11" i="1" l="1"/>
  <c r="L14" i="1" s="1"/>
  <c r="K11" i="1"/>
  <c r="K14" i="1" s="1"/>
  <c r="H11" i="1"/>
  <c r="H14" i="1" s="1"/>
</calcChain>
</file>

<file path=xl/sharedStrings.xml><?xml version="1.0" encoding="utf-8"?>
<sst xmlns="http://schemas.openxmlformats.org/spreadsheetml/2006/main" count="25" uniqueCount="20">
  <si>
    <t>L</t>
  </si>
  <si>
    <t>dx</t>
  </si>
  <si>
    <t>k</t>
  </si>
  <si>
    <t>R</t>
  </si>
  <si>
    <t>Cp</t>
  </si>
  <si>
    <t>p*</t>
  </si>
  <si>
    <t>T*</t>
  </si>
  <si>
    <t>p</t>
  </si>
  <si>
    <t>n</t>
  </si>
  <si>
    <t>x</t>
  </si>
  <si>
    <t>A</t>
  </si>
  <si>
    <t>U</t>
  </si>
  <si>
    <t>r0</t>
  </si>
  <si>
    <t>G</t>
  </si>
  <si>
    <t>dp</t>
  </si>
  <si>
    <t>T</t>
  </si>
  <si>
    <t>c</t>
  </si>
  <si>
    <t>M</t>
  </si>
  <si>
    <t>Повторить 4 расчета и сделать для маха 0,98 и 1,2</t>
  </si>
  <si>
    <t>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</si>
</sst>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7" formatCode="0.0000"/>
    <numFmt numFmtId="168" formatCode="0.000"/>
    <numFmt numFmtId="169" formatCode="0.0"/>
  </numFmts>
  <fonts count="1" x14ac:knownFonts="1">
    <font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0" fillId="2" borderId="1" xfId="0" applyFont="1" applyFill="1" applyBorder="1"/>
    <xf numFmtId="0" fontId="0" fillId="2" borderId="1" xfId="0" applyFill="1" applyBorder="1"/>
    <xf numFmtId="167" fontId="0" fillId="0" borderId="1" xfId="0" applyNumberFormat="1" applyBorder="1"/>
    <xf numFmtId="168" fontId="0" fillId="0" borderId="1" xfId="0" applyNumberFormat="1" applyBorder="1"/>
    <xf numFmtId="1" fontId="0" fillId="2" borderId="1" xfId="0" applyNumberFormat="1" applyFill="1" applyBorder="1"/>
    <xf numFmtId="169" fontId="0" fillId="0" borderId="1" xfId="0" applyNumberFormat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R,[m]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Лист1!$F$3:$P$3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Лист1!$F$4:$P$4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3-469E-9431-84C4A0626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2412496"/>
        <c:axId val="327364448"/>
      </c:lineChart>
      <c:catAx>
        <c:axId val="27241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364448"/>
        <c:crosses val="autoZero"/>
        <c:auto val="1"/>
        <c:lblAlgn val="ctr"/>
        <c:lblOffset val="100"/>
        <c:noMultiLvlLbl val="0"/>
      </c:catAx>
      <c:valAx>
        <c:axId val="32736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7241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G,[kg/s]</a:t>
            </a:r>
          </a:p>
        </c:rich>
      </c:tx>
      <c:layout>
        <c:manualLayout>
          <c:xMode val="edge"/>
          <c:yMode val="edge"/>
          <c:x val="9.517344706911636E-2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Лист1!$F$10:$P$10</c:f>
              <c:strCache>
                <c:ptCount val="11"/>
                <c:pt idx="0">
                  <c:v>1,366</c:v>
                </c:pt>
                <c:pt idx="1">
                  <c:v>1,366</c:v>
                </c:pt>
                <c:pt idx="2">
                  <c:v>1,367</c:v>
                </c:pt>
                <c:pt idx="3">
                  <c:v>1,367</c:v>
                </c:pt>
                <c:pt idx="4">
                  <c:v>1,367</c:v>
                </c:pt>
                <c:pt idx="5">
                  <c:v>1,367</c:v>
                </c:pt>
                <c:pt idx="6">
                  <c:v>1,368</c:v>
                </c:pt>
                <c:pt idx="7">
                  <c:v>1,368</c:v>
                </c:pt>
                <c:pt idx="8">
                  <c:v>1,368</c:v>
                </c:pt>
                <c:pt idx="9">
                  <c:v>1,368</c:v>
                </c:pt>
                <c:pt idx="10">
                  <c:v>1,368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Лист1!$F$3:$P$3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Лист1!$F$10:$P$10</c:f>
              <c:numCache>
                <c:formatCode>0.000</c:formatCode>
                <c:ptCount val="11"/>
                <c:pt idx="0">
                  <c:v>1.366319767064315</c:v>
                </c:pt>
                <c:pt idx="1">
                  <c:v>1.3663230263056192</c:v>
                </c:pt>
                <c:pt idx="2">
                  <c:v>1.3665061703250079</c:v>
                </c:pt>
                <c:pt idx="3">
                  <c:v>1.3667709625642639</c:v>
                </c:pt>
                <c:pt idx="4">
                  <c:v>1.3670844463740868</c:v>
                </c:pt>
                <c:pt idx="5">
                  <c:v>1.3674102353600901</c:v>
                </c:pt>
                <c:pt idx="6">
                  <c:v>1.3677115104077031</c:v>
                </c:pt>
                <c:pt idx="7">
                  <c:v>1.3679558661344984</c:v>
                </c:pt>
                <c:pt idx="8">
                  <c:v>1.3681219499556705</c:v>
                </c:pt>
                <c:pt idx="9">
                  <c:v>1.3682067248782555</c:v>
                </c:pt>
                <c:pt idx="10">
                  <c:v>1.368230019724868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A7-453C-8E33-7A933C55D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5079720"/>
        <c:axId val="325081360"/>
      </c:lineChart>
      <c:catAx>
        <c:axId val="32507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5081360"/>
        <c:crosses val="autoZero"/>
        <c:auto val="1"/>
        <c:lblAlgn val="ctr"/>
        <c:lblOffset val="100"/>
        <c:noMultiLvlLbl val="0"/>
      </c:catAx>
      <c:valAx>
        <c:axId val="32508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507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Лист1!$F$3:$P$3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Лист1!$F$6:$P$6</c:f>
              <c:numCache>
                <c:formatCode>General</c:formatCode>
                <c:ptCount val="11"/>
                <c:pt idx="0">
                  <c:v>57.345999103135199</c:v>
                </c:pt>
                <c:pt idx="1">
                  <c:v>63.541424071803824</c:v>
                </c:pt>
                <c:pt idx="2">
                  <c:v>70.807142656169617</c:v>
                </c:pt>
                <c:pt idx="3">
                  <c:v>79.397771984047708</c:v>
                </c:pt>
                <c:pt idx="4">
                  <c:v>89.653220428711506</c:v>
                </c:pt>
                <c:pt idx="5">
                  <c:v>102.02980327193535</c:v>
                </c:pt>
                <c:pt idx="6">
                  <c:v>117.15193281912271</c:v>
                </c:pt>
                <c:pt idx="7">
                  <c:v>135.89287838336531</c:v>
                </c:pt>
                <c:pt idx="8">
                  <c:v>159.50484154612212</c:v>
                </c:pt>
                <c:pt idx="9">
                  <c:v>189.83576989662188</c:v>
                </c:pt>
                <c:pt idx="10">
                  <c:v>229.70522138401481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CB-4140-B153-B3E6E4096F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1717328"/>
        <c:axId val="421722904"/>
      </c:lineChart>
      <c:catAx>
        <c:axId val="42171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1722904"/>
        <c:crosses val="autoZero"/>
        <c:auto val="1"/>
        <c:lblAlgn val="ctr"/>
        <c:lblOffset val="100"/>
        <c:noMultiLvlLbl val="0"/>
      </c:catAx>
      <c:valAx>
        <c:axId val="42172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171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Лист1!$F$3:$P$3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Лист1!$F$7:$P$7</c:f>
              <c:numCache>
                <c:formatCode>General</c:formatCode>
                <c:ptCount val="11"/>
                <c:pt idx="0">
                  <c:v>133051.52605921647</c:v>
                </c:pt>
                <c:pt idx="1">
                  <c:v>132585.00887496027</c:v>
                </c:pt>
                <c:pt idx="2">
                  <c:v>131975.33222654191</c:v>
                </c:pt>
                <c:pt idx="3">
                  <c:v>131167.0237309454</c:v>
                </c:pt>
                <c:pt idx="4">
                  <c:v>130077.4384601473</c:v>
                </c:pt>
                <c:pt idx="5">
                  <c:v>128580.98395327538</c:v>
                </c:pt>
                <c:pt idx="6">
                  <c:v>126481.59628678391</c:v>
                </c:pt>
                <c:pt idx="7">
                  <c:v>123463.63627072447</c:v>
                </c:pt>
                <c:pt idx="8">
                  <c:v>119000.62894825015</c:v>
                </c:pt>
                <c:pt idx="9">
                  <c:v>112177.50418921013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86-48D1-9065-54F3AD5F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3184952"/>
        <c:axId val="423193152"/>
      </c:lineChart>
      <c:catAx>
        <c:axId val="423184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3193152"/>
        <c:crosses val="autoZero"/>
        <c:auto val="1"/>
        <c:lblAlgn val="ctr"/>
        <c:lblOffset val="100"/>
        <c:noMultiLvlLbl val="0"/>
      </c:catAx>
      <c:valAx>
        <c:axId val="42319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318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41910</xdr:rowOff>
    </xdr:from>
    <xdr:to>
      <xdr:col>7</xdr:col>
      <xdr:colOff>228600</xdr:colOff>
      <xdr:row>35</xdr:row>
      <xdr:rowOff>41910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525780</xdr:colOff>
      <xdr:row>20</xdr:row>
      <xdr:rowOff>49530</xdr:rowOff>
    </xdr:from>
    <xdr:to>
      <xdr:col>14</xdr:col>
      <xdr:colOff>563880</xdr:colOff>
      <xdr:row>35</xdr:row>
      <xdr:rowOff>49530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129540</xdr:colOff>
      <xdr:row>20</xdr:row>
      <xdr:rowOff>26670</xdr:rowOff>
    </xdr:from>
    <xdr:to>
      <xdr:col>22</xdr:col>
      <xdr:colOff>396240</xdr:colOff>
      <xdr:row>35</xdr:row>
      <xdr:rowOff>26670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10885</xdr:colOff>
      <xdr:row>19</xdr:row>
      <xdr:rowOff>146957</xdr:rowOff>
    </xdr:from>
    <xdr:to>
      <xdr:col>30</xdr:col>
      <xdr:colOff>315685</xdr:colOff>
      <xdr:row>34</xdr:row>
      <xdr:rowOff>114300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S19"/>
  <sheetViews>
    <sheetView tabSelected="1" zoomScale="70" zoomScaleNormal="70" workbookViewId="0">
      <selection activeCell="C14" sqref="C14"/>
    </sheetView>
  </sheetViews>
  <sheetFormatPr defaultRowHeight="14.4" x14ac:dyDescent="0.3"/>
  <cols>
    <col min="6" max="16" width="9.44140625" bestFit="1" customWidth="1"/>
  </cols>
  <sheetData>
    <row r="2" spans="2:19" x14ac:dyDescent="0.3">
      <c r="B2" s="1" t="s">
        <v>0</v>
      </c>
      <c r="C2" s="1">
        <v>0.1</v>
      </c>
      <c r="E2" s="1"/>
      <c r="F2" s="1">
        <v>1</v>
      </c>
      <c r="G2" s="1">
        <v>2</v>
      </c>
      <c r="H2" s="1">
        <v>3</v>
      </c>
      <c r="I2" s="1">
        <v>4</v>
      </c>
      <c r="J2" s="1">
        <v>5</v>
      </c>
      <c r="K2" s="1">
        <v>6</v>
      </c>
      <c r="L2" s="1">
        <v>7</v>
      </c>
      <c r="M2" s="1">
        <v>8</v>
      </c>
      <c r="N2" s="1">
        <v>9</v>
      </c>
      <c r="O2" s="1">
        <v>10</v>
      </c>
      <c r="P2" s="1">
        <v>11</v>
      </c>
      <c r="S2" t="s">
        <v>18</v>
      </c>
    </row>
    <row r="3" spans="2:19" x14ac:dyDescent="0.3">
      <c r="B3" s="1" t="s">
        <v>1</v>
      </c>
      <c r="C3" s="1">
        <f>0.1/10</f>
        <v>0.01</v>
      </c>
      <c r="E3" s="1" t="s">
        <v>9</v>
      </c>
      <c r="F3" s="1">
        <v>0</v>
      </c>
      <c r="G3" s="1">
        <f>F3+$C$3</f>
        <v>0.01</v>
      </c>
      <c r="H3" s="1">
        <f t="shared" ref="H3:P3" si="0">G3+$C$3</f>
        <v>0.02</v>
      </c>
      <c r="I3" s="1">
        <f t="shared" si="0"/>
        <v>0.03</v>
      </c>
      <c r="J3" s="1">
        <f t="shared" si="0"/>
        <v>0.04</v>
      </c>
      <c r="K3" s="1">
        <f t="shared" si="0"/>
        <v>0.05</v>
      </c>
      <c r="L3" s="1">
        <f t="shared" si="0"/>
        <v>6.0000000000000005E-2</v>
      </c>
      <c r="M3" s="1">
        <f t="shared" si="0"/>
        <v>7.0000000000000007E-2</v>
      </c>
      <c r="N3" s="1">
        <f t="shared" si="0"/>
        <v>0.08</v>
      </c>
      <c r="O3" s="1">
        <f t="shared" si="0"/>
        <v>0.09</v>
      </c>
      <c r="P3" s="1">
        <f t="shared" si="0"/>
        <v>9.9999999999999992E-2</v>
      </c>
    </row>
    <row r="4" spans="2:19" x14ac:dyDescent="0.3">
      <c r="E4" s="1" t="s">
        <v>3</v>
      </c>
      <c r="F4" s="1">
        <f>0.08</f>
        <v>0.08</v>
      </c>
      <c r="G4" s="1">
        <f>F4-($F$4-$P$4)/10</f>
        <v>7.5999999999999998E-2</v>
      </c>
      <c r="H4" s="1">
        <f t="shared" ref="H4:O4" si="1">G4-($F$4-$P$4)/10</f>
        <v>7.1999999999999995E-2</v>
      </c>
      <c r="I4" s="1">
        <f t="shared" si="1"/>
        <v>6.7999999999999991E-2</v>
      </c>
      <c r="J4" s="1">
        <f t="shared" si="1"/>
        <v>6.3999999999999987E-2</v>
      </c>
      <c r="K4" s="1">
        <f t="shared" si="1"/>
        <v>5.9999999999999984E-2</v>
      </c>
      <c r="L4" s="1">
        <f t="shared" si="1"/>
        <v>5.599999999999998E-2</v>
      </c>
      <c r="M4" s="1">
        <f t="shared" si="1"/>
        <v>5.1999999999999977E-2</v>
      </c>
      <c r="N4" s="1">
        <f t="shared" si="1"/>
        <v>4.7999999999999973E-2</v>
      </c>
      <c r="O4" s="1">
        <f t="shared" si="1"/>
        <v>4.399999999999997E-2</v>
      </c>
      <c r="P4" s="1">
        <f>0.04</f>
        <v>0.04</v>
      </c>
    </row>
    <row r="5" spans="2:19" x14ac:dyDescent="0.3">
      <c r="B5" s="1" t="s">
        <v>2</v>
      </c>
      <c r="C5" s="1">
        <v>1.4</v>
      </c>
      <c r="E5" s="1" t="s">
        <v>10</v>
      </c>
      <c r="F5" s="1">
        <f>PI()*F4^2</f>
        <v>2.0106192982974676E-2</v>
      </c>
      <c r="G5" s="1">
        <f t="shared" ref="G5:P5" si="2">PI()*G4^2</f>
        <v>1.8145839167134643E-2</v>
      </c>
      <c r="H5" s="1">
        <f t="shared" si="2"/>
        <v>1.6286016316209486E-2</v>
      </c>
      <c r="I5" s="1">
        <f t="shared" si="2"/>
        <v>1.4526724430199199E-2</v>
      </c>
      <c r="J5" s="1">
        <f t="shared" si="2"/>
        <v>1.2867963509103787E-2</v>
      </c>
      <c r="K5" s="1">
        <f t="shared" si="2"/>
        <v>1.1309733552923249E-2</v>
      </c>
      <c r="L5" s="1">
        <f t="shared" si="2"/>
        <v>9.8520345616575841E-3</v>
      </c>
      <c r="M5" s="1">
        <f t="shared" si="2"/>
        <v>8.4948665353067939E-3</v>
      </c>
      <c r="N5" s="1">
        <f t="shared" si="2"/>
        <v>7.2382294738708754E-3</v>
      </c>
      <c r="O5" s="1">
        <f t="shared" si="2"/>
        <v>6.0821233773498311E-3</v>
      </c>
      <c r="P5" s="1">
        <f t="shared" si="2"/>
        <v>5.0265482457436689E-3</v>
      </c>
    </row>
    <row r="6" spans="2:19" x14ac:dyDescent="0.3">
      <c r="B6" s="1" t="s">
        <v>3</v>
      </c>
      <c r="C6" s="1">
        <v>286.97199999999998</v>
      </c>
      <c r="E6" s="1" t="s">
        <v>11</v>
      </c>
      <c r="F6" s="1">
        <v>57.345999103135199</v>
      </c>
      <c r="G6" s="1">
        <v>63.541424071803824</v>
      </c>
      <c r="H6" s="1">
        <v>70.807142656169617</v>
      </c>
      <c r="I6" s="1">
        <v>79.397771984047708</v>
      </c>
      <c r="J6" s="1">
        <v>89.653220428711506</v>
      </c>
      <c r="K6" s="1">
        <v>102.02980327193535</v>
      </c>
      <c r="L6" s="1">
        <v>117.15193281912271</v>
      </c>
      <c r="M6" s="1">
        <v>135.89287838336531</v>
      </c>
      <c r="N6" s="1">
        <v>159.50484154612212</v>
      </c>
      <c r="O6" s="1">
        <v>189.83576989662188</v>
      </c>
      <c r="P6" s="1">
        <v>229.70522138401481</v>
      </c>
    </row>
    <row r="7" spans="2:19" x14ac:dyDescent="0.3">
      <c r="B7" s="1" t="s">
        <v>4</v>
      </c>
      <c r="C7" s="1">
        <v>1004.4</v>
      </c>
      <c r="E7" s="1" t="s">
        <v>7</v>
      </c>
      <c r="F7" s="1">
        <v>133051.52605921647</v>
      </c>
      <c r="G7" s="1">
        <v>132585.00887496027</v>
      </c>
      <c r="H7" s="1">
        <v>131975.33222654191</v>
      </c>
      <c r="I7" s="1">
        <v>131167.0237309454</v>
      </c>
      <c r="J7" s="1">
        <v>130077.4384601473</v>
      </c>
      <c r="K7" s="1">
        <v>128580.98395327538</v>
      </c>
      <c r="L7" s="1">
        <v>126481.59628678391</v>
      </c>
      <c r="M7" s="1">
        <v>123463.63627072447</v>
      </c>
      <c r="N7" s="1">
        <v>119000.62894825015</v>
      </c>
      <c r="O7" s="1">
        <v>112177.50418921013</v>
      </c>
      <c r="P7" s="1">
        <v>101325</v>
      </c>
    </row>
    <row r="8" spans="2:19" x14ac:dyDescent="0.3">
      <c r="E8" s="1" t="s">
        <v>12</v>
      </c>
      <c r="F8" s="1">
        <v>1.1850000000000001</v>
      </c>
      <c r="G8" s="1">
        <v>1.1850000000000001</v>
      </c>
      <c r="H8" s="1">
        <v>1.1850000000000001</v>
      </c>
      <c r="I8" s="1">
        <v>1.1850000000000001</v>
      </c>
      <c r="J8" s="1">
        <v>1.1850000000000001</v>
      </c>
      <c r="K8" s="1">
        <v>1.1850000000000001</v>
      </c>
      <c r="L8" s="1">
        <v>1.1850000000000001</v>
      </c>
      <c r="M8" s="1">
        <v>1.1850000000000001</v>
      </c>
      <c r="N8" s="1">
        <v>1.1850000000000001</v>
      </c>
      <c r="O8" s="1">
        <v>1.1850000000000001</v>
      </c>
      <c r="P8" s="1">
        <v>1.1850000000000001</v>
      </c>
    </row>
    <row r="9" spans="2:19" x14ac:dyDescent="0.3">
      <c r="B9" s="1" t="s">
        <v>5</v>
      </c>
      <c r="C9" s="1">
        <v>135000</v>
      </c>
    </row>
    <row r="10" spans="2:19" x14ac:dyDescent="0.3">
      <c r="B10" s="1" t="s">
        <v>6</v>
      </c>
      <c r="C10" s="1">
        <v>288.16000000000003</v>
      </c>
      <c r="E10" s="1" t="s">
        <v>13</v>
      </c>
      <c r="F10" s="5">
        <f>F5*F8*F13</f>
        <v>1.366319767064315</v>
      </c>
      <c r="G10" s="5">
        <f t="shared" ref="G10:P10" si="3">G5*G8*G13</f>
        <v>1.3663230263056192</v>
      </c>
      <c r="H10" s="5">
        <f t="shared" si="3"/>
        <v>1.3665061703250079</v>
      </c>
      <c r="I10" s="5">
        <f t="shared" si="3"/>
        <v>1.3667709625642639</v>
      </c>
      <c r="J10" s="5">
        <f t="shared" si="3"/>
        <v>1.3670844463740868</v>
      </c>
      <c r="K10" s="5">
        <f t="shared" si="3"/>
        <v>1.3674102353600901</v>
      </c>
      <c r="L10" s="5">
        <f t="shared" si="3"/>
        <v>1.3677115104077031</v>
      </c>
      <c r="M10" s="5">
        <f t="shared" si="3"/>
        <v>1.3679558661344984</v>
      </c>
      <c r="N10" s="5">
        <f t="shared" si="3"/>
        <v>1.3681219499556705</v>
      </c>
      <c r="O10" s="5">
        <f t="shared" si="3"/>
        <v>1.3682067248782555</v>
      </c>
      <c r="P10" s="5">
        <f t="shared" si="3"/>
        <v>1.368230019724868</v>
      </c>
    </row>
    <row r="11" spans="2:19" x14ac:dyDescent="0.3">
      <c r="B11" s="1" t="s">
        <v>7</v>
      </c>
      <c r="C11" s="1">
        <v>101325</v>
      </c>
      <c r="E11" s="1" t="s">
        <v>14</v>
      </c>
      <c r="F11" s="1">
        <f>F13*(F10-G10)</f>
        <v>-1.8690489255957104E-4</v>
      </c>
      <c r="G11" s="1">
        <f t="shared" ref="G11:O11" si="4">G13*(G10-H10)</f>
        <v>-1.1637259561832102E-2</v>
      </c>
      <c r="H11" s="1">
        <f t="shared" si="4"/>
        <v>-1.8749238495151681E-2</v>
      </c>
      <c r="I11" s="1">
        <f t="shared" si="4"/>
        <v>-2.4889995107794695E-2</v>
      </c>
      <c r="J11" s="1">
        <f t="shared" si="4"/>
        <v>-2.9208117645980577E-2</v>
      </c>
      <c r="K11" s="1">
        <f t="shared" si="4"/>
        <v>-3.0739108389509114E-2</v>
      </c>
      <c r="L11" s="1">
        <f t="shared" si="4"/>
        <v>-2.8626796225087545E-2</v>
      </c>
      <c r="M11" s="1">
        <f t="shared" si="4"/>
        <v>-2.2569633361666619E-2</v>
      </c>
      <c r="N11" s="1">
        <f t="shared" si="4"/>
        <v>-1.3522018157650058E-2</v>
      </c>
      <c r="O11" s="1">
        <f t="shared" si="4"/>
        <v>-4.4221961263151942E-3</v>
      </c>
      <c r="P11" s="3">
        <v>0</v>
      </c>
    </row>
    <row r="13" spans="2:19" x14ac:dyDescent="0.3">
      <c r="E13" s="1" t="s">
        <v>11</v>
      </c>
      <c r="F13" s="3">
        <f>G8*G6*G5/(F8*F5)</f>
        <v>57.346135224802943</v>
      </c>
      <c r="G13" s="1">
        <f>((F7-G7)/G8+F6*G6)^0.5</f>
        <v>63.54157564454605</v>
      </c>
      <c r="H13" s="1">
        <f t="shared" ref="H13:P13" si="5">((G7-H7)/H8+G6*H6)^0.5</f>
        <v>70.80735654425186</v>
      </c>
      <c r="I13" s="1">
        <f t="shared" si="5"/>
        <v>79.398024165451403</v>
      </c>
      <c r="J13" s="1">
        <f t="shared" si="5"/>
        <v>89.653484006000753</v>
      </c>
      <c r="K13" s="1">
        <f t="shared" si="5"/>
        <v>102.03005072293035</v>
      </c>
      <c r="L13" s="1">
        <f t="shared" si="5"/>
        <v>117.15213963073084</v>
      </c>
      <c r="M13" s="1">
        <f t="shared" si="5"/>
        <v>135.89302800468172</v>
      </c>
      <c r="N13" s="1">
        <f t="shared" si="5"/>
        <v>159.50493076650247</v>
      </c>
      <c r="O13" s="1">
        <f t="shared" si="5"/>
        <v>189.83581218044733</v>
      </c>
      <c r="P13" s="1">
        <f t="shared" si="5"/>
        <v>229.7052435927576</v>
      </c>
    </row>
    <row r="14" spans="2:19" x14ac:dyDescent="0.3">
      <c r="B14" s="1" t="s">
        <v>8</v>
      </c>
      <c r="C14" s="1">
        <v>2000</v>
      </c>
      <c r="D14">
        <v>2001</v>
      </c>
      <c r="E14" s="1" t="s">
        <v>7</v>
      </c>
      <c r="F14" s="6">
        <f>C9-F8*F13^2/2</f>
        <v>133051.51680905634</v>
      </c>
      <c r="G14" s="1">
        <f>G7+G11</f>
        <v>132584.99723770071</v>
      </c>
      <c r="H14" s="1">
        <f t="shared" ref="H14:O14" si="6">H7+H11</f>
        <v>131975.31347730343</v>
      </c>
      <c r="I14" s="1">
        <f t="shared" si="6"/>
        <v>131166.99884095028</v>
      </c>
      <c r="J14" s="1">
        <f t="shared" si="6"/>
        <v>130077.40925202965</v>
      </c>
      <c r="K14" s="1">
        <f t="shared" si="6"/>
        <v>128580.95321416699</v>
      </c>
      <c r="L14" s="1">
        <f t="shared" si="6"/>
        <v>126481.56765998769</v>
      </c>
      <c r="M14" s="1">
        <f t="shared" si="6"/>
        <v>123463.6137010911</v>
      </c>
      <c r="N14" s="1">
        <f t="shared" si="6"/>
        <v>119000.61542623199</v>
      </c>
      <c r="O14" s="1">
        <f t="shared" si="6"/>
        <v>112177.499767014</v>
      </c>
      <c r="P14" s="2">
        <v>101325</v>
      </c>
    </row>
    <row r="15" spans="2:19" x14ac:dyDescent="0.3">
      <c r="B15" s="8" t="s">
        <v>19</v>
      </c>
      <c r="C15" s="8">
        <v>1</v>
      </c>
      <c r="E15" s="1" t="s">
        <v>12</v>
      </c>
      <c r="F15" s="1">
        <v>1.1850000000000001</v>
      </c>
      <c r="G15" s="1">
        <v>1.1850000000000001</v>
      </c>
      <c r="H15" s="1">
        <v>1.1850000000000001</v>
      </c>
      <c r="I15" s="1">
        <v>1.1850000000000001</v>
      </c>
      <c r="J15" s="1">
        <v>1.1850000000000001</v>
      </c>
      <c r="K15" s="1">
        <v>1.1850000000000001</v>
      </c>
      <c r="L15" s="1">
        <v>1.1850000000000001</v>
      </c>
      <c r="M15" s="1">
        <v>1.1850000000000001</v>
      </c>
      <c r="N15" s="1">
        <v>1.1850000000000001</v>
      </c>
      <c r="O15" s="1">
        <v>1.1850000000000001</v>
      </c>
      <c r="P15" s="1">
        <v>1.1850000000000001</v>
      </c>
    </row>
    <row r="17" spans="5:16" x14ac:dyDescent="0.3">
      <c r="E17" s="1" t="s">
        <v>15</v>
      </c>
      <c r="F17" s="1">
        <f>$C$10-(F13^2)/(2*$C$7)</f>
        <v>286.52291356769149</v>
      </c>
      <c r="G17" s="1">
        <f t="shared" ref="G17:P17" si="7">$C$10-(G13^2)/(2*$C$7)</f>
        <v>286.15007774024713</v>
      </c>
      <c r="H17" s="1">
        <f t="shared" si="7"/>
        <v>285.66414090960535</v>
      </c>
      <c r="I17" s="1">
        <f t="shared" si="7"/>
        <v>285.02178502520036</v>
      </c>
      <c r="J17" s="1">
        <f t="shared" si="7"/>
        <v>284.1587319820718</v>
      </c>
      <c r="K17" s="1">
        <f t="shared" si="7"/>
        <v>282.97773633486474</v>
      </c>
      <c r="L17" s="1">
        <f t="shared" si="7"/>
        <v>281.32774999001481</v>
      </c>
      <c r="M17" s="1">
        <f t="shared" si="7"/>
        <v>278.96699170635145</v>
      </c>
      <c r="N17" s="1">
        <f t="shared" si="7"/>
        <v>275.49481534307711</v>
      </c>
      <c r="O17" s="1">
        <f t="shared" si="7"/>
        <v>270.2201176890631</v>
      </c>
      <c r="P17" s="1">
        <f t="shared" si="7"/>
        <v>261.89332390780163</v>
      </c>
    </row>
    <row r="18" spans="5:16" x14ac:dyDescent="0.3">
      <c r="E18" s="1" t="s">
        <v>16</v>
      </c>
      <c r="F18" s="7">
        <f>SQRT($C$5*$C$6*F17)</f>
        <v>339.2840623626264</v>
      </c>
      <c r="G18" s="7">
        <f t="shared" ref="G18:P18" si="8">SQRT($C$5*$C$6*G17)</f>
        <v>339.06324506348938</v>
      </c>
      <c r="H18" s="7">
        <f t="shared" si="8"/>
        <v>338.7752260469407</v>
      </c>
      <c r="I18" s="7">
        <f t="shared" si="8"/>
        <v>338.39411987969368</v>
      </c>
      <c r="J18" s="7">
        <f t="shared" si="8"/>
        <v>337.88139855295782</v>
      </c>
      <c r="K18" s="7">
        <f t="shared" si="8"/>
        <v>337.17853094775222</v>
      </c>
      <c r="L18" s="7">
        <f t="shared" si="8"/>
        <v>336.19408367517167</v>
      </c>
      <c r="M18" s="7">
        <f t="shared" si="8"/>
        <v>334.78052775144664</v>
      </c>
      <c r="N18" s="7">
        <f t="shared" si="8"/>
        <v>332.69057306765836</v>
      </c>
      <c r="O18" s="7">
        <f t="shared" si="8"/>
        <v>329.49028917230947</v>
      </c>
      <c r="P18" s="7">
        <f t="shared" si="8"/>
        <v>324.3739683264634</v>
      </c>
    </row>
    <row r="19" spans="5:16" x14ac:dyDescent="0.3">
      <c r="E19" s="1" t="s">
        <v>17</v>
      </c>
      <c r="F19" s="4">
        <f>F13/F18</f>
        <v>0.16902101096488129</v>
      </c>
      <c r="G19" s="4">
        <f t="shared" ref="G19:P19" si="9">G13/G18</f>
        <v>0.18740331359905416</v>
      </c>
      <c r="H19" s="4">
        <f t="shared" si="9"/>
        <v>0.20900984222040131</v>
      </c>
      <c r="I19" s="4">
        <f t="shared" si="9"/>
        <v>0.23463180800446265</v>
      </c>
      <c r="J19" s="4">
        <f t="shared" si="9"/>
        <v>0.26534009978045275</v>
      </c>
      <c r="K19" s="4">
        <f t="shared" si="9"/>
        <v>0.30259948768428707</v>
      </c>
      <c r="L19" s="4">
        <f t="shared" si="9"/>
        <v>0.34846579794046112</v>
      </c>
      <c r="M19" s="4">
        <f t="shared" si="9"/>
        <v>0.40591676259490728</v>
      </c>
      <c r="N19" s="4">
        <f t="shared" si="9"/>
        <v>0.47943928586778561</v>
      </c>
      <c r="O19" s="4">
        <f t="shared" si="9"/>
        <v>0.57614994559421218</v>
      </c>
      <c r="P19" s="4">
        <f t="shared" si="9"/>
        <v>0.70814943867990277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Артём Юртаев</dc:creator>
  <cp:lastModifiedBy>Артём Юртаев</cp:lastModifiedBy>
  <dcterms:created xsi:type="dcterms:W3CDTF">2021-04-22T07:53:58Z</dcterms:created>
  <dcterms:modified xsi:type="dcterms:W3CDTF">2021-04-22T08:24:23Z</dcterms:modified>
</cp:coreProperties>
</file>