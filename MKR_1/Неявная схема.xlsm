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J:\МСС\"/>
    </mc:Choice>
  </mc:AlternateContent>
  <bookViews>
    <workbookView xWindow="0" yWindow="0" windowWidth="23040" windowHeight="9192"/>
  </bookViews>
  <sheets>
    <sheet name="BC1st" sheetId="5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5" l="1"/>
  <c r="G19" i="5" l="1"/>
  <c r="F19" i="5"/>
  <c r="C17" i="5"/>
  <c r="C16" i="5"/>
  <c r="C18" i="5" s="1"/>
  <c r="H19" i="5" l="1"/>
  <c r="I19" i="5"/>
  <c r="J19" i="5"/>
  <c r="K19" i="5"/>
  <c r="L19" i="5"/>
  <c r="I15" i="5" l="1"/>
  <c r="G15" i="5" s="1"/>
  <c r="F15" i="5" s="1"/>
  <c r="H15" i="5" l="1"/>
  <c r="K15" i="5"/>
  <c r="J15" i="5" s="1"/>
  <c r="L15" i="5" l="1"/>
  <c r="G12" i="5"/>
  <c r="H12" i="5" s="1"/>
  <c r="I12" i="5" s="1"/>
  <c r="J12" i="5" s="1"/>
  <c r="K12" i="5" s="1"/>
  <c r="L12" i="5" s="1"/>
</calcChain>
</file>

<file path=xl/sharedStrings.xml><?xml version="1.0" encoding="utf-8"?>
<sst xmlns="http://schemas.openxmlformats.org/spreadsheetml/2006/main" count="17" uniqueCount="16">
  <si>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</si>
  <si>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</si>
  <si>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</si>
  <si>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</si>
  <si>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</si>
  <si>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</si>
  <si>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</si>
  <si>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</si>
  <si>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</si>
  <si>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</si>
  <si>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</si>
  <si>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 xml:space="preserve"> </t>
  </si>
  <si>
    <t>A</t>
  </si>
  <si>
    <t>B</t>
  </si>
  <si>
    <t>C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</si>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</sst>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2" xfId="0" applyNumberFormat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BC1st!$F$12:$L$12</c:f>
              <c:numCache>
                <c:formatCode>0.0000</c:formatCode>
                <c:ptCount val="7"/>
                <c:pt idx="0" formatCode="0.000">
                  <c:v>0</c:v>
                </c:pt>
                <c:pt idx="1">
                  <c:v>1.6666666666666666E-2</c:v>
                </c:pt>
                <c:pt idx="2">
                  <c:v>3.3333333333333333E-2</c:v>
                </c:pt>
                <c:pt idx="3">
                  <c:v>0.05</c:v>
                </c:pt>
                <c:pt idx="4">
                  <c:v>6.6666666666666666E-2</c:v>
                </c:pt>
                <c:pt idx="5">
                  <c:v>8.3333333333333329E-2</c:v>
                </c:pt>
                <c:pt idx="6">
                  <c:v>9.9999999999999992E-2</c:v>
                </c:pt>
              </c:numCache>
            </c:numRef>
          </c:xVal>
          <c:yVal>
            <c:numRef>
              <c:f>BC1st!$F$13:$L$13</c:f>
              <c:numCache>
                <c:formatCode>General</c:formatCode>
                <c:ptCount val="7"/>
                <c:pt idx="0">
                  <c:v>300</c:v>
                </c:pt>
                <c:pt idx="1">
                  <c:v>253.95106926789754</c:v>
                </c:pt>
                <c:pt idx="2">
                  <c:v>222.53105231683546</c:v>
                </c:pt>
                <c:pt idx="3">
                  <c:v>191.12313132819475</c:v>
                </c:pt>
                <c:pt idx="4">
                  <c:v>159.72911994968874</c:v>
                </c:pt>
                <c:pt idx="5">
                  <c:v>128.34720453360123</c:v>
                </c:pt>
                <c:pt idx="6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04-49F8-A8AD-88DC40C2F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016392"/>
        <c:axId val="327021640"/>
      </c:scatterChart>
      <c:valAx>
        <c:axId val="327016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7021640"/>
        <c:crosses val="autoZero"/>
        <c:crossBetween val="midCat"/>
      </c:valAx>
      <c:valAx>
        <c:axId val="32702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7016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587828</xdr:colOff>
      <xdr:row>21</xdr:row>
      <xdr:rowOff>27215</xdr:rowOff>
    </xdr:from>
    <xdr:to>
      <xdr:col>14</xdr:col>
      <xdr:colOff>359228</xdr:colOff>
      <xdr:row>35</xdr:row>
      <xdr:rowOff>179615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19"/>
  <sheetViews>
    <sheetView tabSelected="1" zoomScale="70" zoomScaleNormal="70" workbookViewId="0">
      <selection activeCell="AA15" sqref="AA15"/>
    </sheetView>
  </sheetViews>
  <sheetFormatPr defaultRowHeight="14.4" x14ac:dyDescent="0.3"/>
  <cols>
    <col min="3" max="3" width="10.5546875" bestFit="1" customWidth="1"/>
    <col min="4" max="4" width="8.88671875" customWidth="1"/>
    <col min="6" max="6" width="12.77734375" bestFit="1" customWidth="1"/>
    <col min="7" max="15" width="7.109375" bestFit="1" customWidth="1"/>
    <col min="16" max="16" width="9.44140625" bestFit="1" customWidth="1"/>
    <col min="17" max="17" width="10.5546875" bestFit="1" customWidth="1"/>
    <col min="18" max="18" width="9.44140625" bestFit="1" customWidth="1"/>
    <col min="19" max="19" width="11.6640625" bestFit="1" customWidth="1"/>
    <col min="20" max="20" width="7.109375" bestFit="1" customWidth="1"/>
    <col min="21" max="21" width="11.6640625" bestFit="1" customWidth="1"/>
    <col min="22" max="36" width="7.109375" bestFit="1" customWidth="1"/>
  </cols>
  <sheetData>
    <row r="2" spans="1:36" ht="15" thickBot="1" x14ac:dyDescent="0.35"/>
    <row r="3" spans="1:36" ht="15.6" thickTop="1" thickBot="1" x14ac:dyDescent="0.35">
      <c r="B3" s="2" t="s">
        <v>0</v>
      </c>
      <c r="C3" s="2">
        <v>0.1</v>
      </c>
      <c r="P3" s="11"/>
    </row>
    <row r="4" spans="1:36" ht="15.6" thickTop="1" thickBot="1" x14ac:dyDescent="0.35">
      <c r="B4" s="2" t="s">
        <v>1</v>
      </c>
      <c r="C4" s="5">
        <f>0.1/6</f>
        <v>1.6666666666666666E-2</v>
      </c>
    </row>
    <row r="5" spans="1:36" ht="15.6" thickTop="1" thickBot="1" x14ac:dyDescent="0.35">
      <c r="B5" s="3" t="s">
        <v>2</v>
      </c>
      <c r="C5" s="3">
        <v>1</v>
      </c>
    </row>
    <row r="6" spans="1:36" ht="15.6" thickTop="1" thickBot="1" x14ac:dyDescent="0.35">
      <c r="B6" s="2" t="s">
        <v>3</v>
      </c>
      <c r="C6" s="2">
        <v>200</v>
      </c>
      <c r="D6">
        <v>201</v>
      </c>
    </row>
    <row r="7" spans="1:36" ht="15.6" thickTop="1" thickBot="1" x14ac:dyDescent="0.35">
      <c r="A7" s="4"/>
      <c r="B7" s="4"/>
      <c r="C7" s="4"/>
      <c r="D7" s="4"/>
    </row>
    <row r="8" spans="1:36" ht="15.6" thickTop="1" thickBot="1" x14ac:dyDescent="0.35">
      <c r="B8" s="2" t="s">
        <v>4</v>
      </c>
      <c r="C8" s="2">
        <v>460</v>
      </c>
    </row>
    <row r="9" spans="1:36" ht="15.6" thickTop="1" thickBot="1" x14ac:dyDescent="0.35">
      <c r="B9" s="2" t="s">
        <v>5</v>
      </c>
      <c r="C9" s="2">
        <v>7800</v>
      </c>
      <c r="F9" t="s">
        <v>11</v>
      </c>
    </row>
    <row r="10" spans="1:36" ht="15.6" thickTop="1" thickBot="1" x14ac:dyDescent="0.35">
      <c r="B10" s="2" t="s">
        <v>6</v>
      </c>
      <c r="C10" s="2">
        <v>46</v>
      </c>
    </row>
    <row r="11" spans="1:36" ht="15.6" thickTop="1" thickBot="1" x14ac:dyDescent="0.35">
      <c r="A11" s="4"/>
      <c r="B11" s="4"/>
      <c r="C11" s="4"/>
      <c r="D11" s="4"/>
      <c r="E11" s="1"/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</row>
    <row r="12" spans="1:36" ht="15.6" thickTop="1" thickBot="1" x14ac:dyDescent="0.35">
      <c r="B12" s="2" t="s">
        <v>8</v>
      </c>
      <c r="C12" s="2">
        <v>300</v>
      </c>
      <c r="E12" s="1" t="s">
        <v>0</v>
      </c>
      <c r="F12" s="7">
        <v>0</v>
      </c>
      <c r="G12" s="8">
        <f>F12+$C$4</f>
        <v>1.6666666666666666E-2</v>
      </c>
      <c r="H12" s="8">
        <f t="shared" ref="H12:L12" si="0">G12+$C$4</f>
        <v>3.3333333333333333E-2</v>
      </c>
      <c r="I12" s="8">
        <f t="shared" si="0"/>
        <v>0.05</v>
      </c>
      <c r="J12" s="8">
        <f t="shared" si="0"/>
        <v>6.6666666666666666E-2</v>
      </c>
      <c r="K12" s="8">
        <f t="shared" si="0"/>
        <v>8.3333333333333329E-2</v>
      </c>
      <c r="L12" s="8">
        <f t="shared" si="0"/>
        <v>9.9999999999999992E-2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5.6" thickTop="1" thickBot="1" x14ac:dyDescent="0.35">
      <c r="B13" s="2" t="s">
        <v>9</v>
      </c>
      <c r="C13" s="2">
        <v>100</v>
      </c>
      <c r="E13" s="1" t="s">
        <v>7</v>
      </c>
      <c r="F13" s="6">
        <v>300</v>
      </c>
      <c r="G13" s="6">
        <v>253.95106926789754</v>
      </c>
      <c r="H13" s="6">
        <v>222.53105231683546</v>
      </c>
      <c r="I13" s="6">
        <v>191.12313132819475</v>
      </c>
      <c r="J13" s="6">
        <v>159.72911994968874</v>
      </c>
      <c r="K13" s="6">
        <v>128.34720453360123</v>
      </c>
      <c r="L13" s="6">
        <v>100</v>
      </c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</row>
    <row r="14" spans="1:36" ht="15" thickTop="1" x14ac:dyDescent="0.3"/>
    <row r="15" spans="1:36" x14ac:dyDescent="0.3">
      <c r="E15" t="s">
        <v>10</v>
      </c>
      <c r="F15">
        <f>(F19-C16*G15)/C17</f>
        <v>285.37822792981194</v>
      </c>
      <c r="G15">
        <f>(G19*C17-C18*F19-C16*H19+C16^2*I15)/(C17^2-2*C16*C18)</f>
        <v>253.95139433888269</v>
      </c>
      <c r="H15">
        <f>(H19-C16*I15-C18*G15)/C17</f>
        <v>222.53160395263214</v>
      </c>
      <c r="I15">
        <f>((C17*I19-C18*H19-C16*J19)*(C17^2-2*C16*C18)+C18^2*(G19*C17-C18*F19-C16*H19)+C16^2*(C17*K19-C18*J19-C16*L19))/((C17^2-2*C16*C18)^2-2*C16^2*C18^2)</f>
        <v>191.12376567530998</v>
      </c>
      <c r="J15">
        <f>(J19-C18*I15-C16*K15)/C17</f>
        <v>159.72967158548533</v>
      </c>
      <c r="K15">
        <f>(C17*K19-C18*J19-C16*L19+C18^2*I15)/(C17^2-2*C16*C18)</f>
        <v>128.34752960458627</v>
      </c>
      <c r="L15">
        <f>(L19-C18*K15)/C17</f>
        <v>96.972430828362789</v>
      </c>
    </row>
    <row r="16" spans="1:36" x14ac:dyDescent="0.3">
      <c r="B16" t="s">
        <v>12</v>
      </c>
      <c r="C16">
        <f>C10/C4^2</f>
        <v>165600</v>
      </c>
    </row>
    <row r="17" spans="2:12" x14ac:dyDescent="0.3">
      <c r="B17" t="s">
        <v>13</v>
      </c>
      <c r="C17">
        <f>-2*C10/C4^2-C9*C8/C5</f>
        <v>-3919200</v>
      </c>
    </row>
    <row r="18" spans="2:12" x14ac:dyDescent="0.3">
      <c r="B18" t="s">
        <v>14</v>
      </c>
      <c r="C18">
        <f>C16</f>
        <v>165600</v>
      </c>
    </row>
    <row r="19" spans="2:12" x14ac:dyDescent="0.3">
      <c r="E19" t="s">
        <v>15</v>
      </c>
      <c r="F19">
        <f>-$C$9*$C$8/$C$5*F13</f>
        <v>-1076400000</v>
      </c>
      <c r="G19">
        <f>-$C$9*$C$8/$C$5*G13</f>
        <v>-911176436.53321636</v>
      </c>
      <c r="H19">
        <f t="shared" ref="H19:L19" si="1">-$C$9*$C$8/$C$5*H13</f>
        <v>-798441415.71280563</v>
      </c>
      <c r="I19">
        <f t="shared" si="1"/>
        <v>-685749795.20556271</v>
      </c>
      <c r="J19">
        <f t="shared" si="1"/>
        <v>-573108082.37948322</v>
      </c>
      <c r="K19">
        <f t="shared" si="1"/>
        <v>-460509769.86656123</v>
      </c>
      <c r="L19">
        <f t="shared" si="1"/>
        <v>-358800000</v>
      </c>
    </row>
  </sheetData>
  <conditionalFormatting sqref="F13:AJ13">
    <cfRule type="colorScale" priority="1">
      <colorScale>
        <cfvo type="min"/>
        <cfvo type="percentile" val="50"/>
        <cfvo type="max"/>
        <color theme="4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BC1st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ansys</dc:creator>
  <cp:lastModifiedBy>Артём Юртаев</cp:lastModifiedBy>
  <dcterms:created xsi:type="dcterms:W3CDTF">2015-06-05T18:17:20Z</dcterms:created>
  <dcterms:modified xsi:type="dcterms:W3CDTF">2021-03-23T18:23:55Z</dcterms:modified>
</cp:coreProperties>
</file>